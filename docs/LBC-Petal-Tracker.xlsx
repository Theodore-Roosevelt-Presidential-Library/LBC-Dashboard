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Place" sheetId="2" state="visible" r:id="rId4"/>
    <sheet name="Health and Happiness" sheetId="3" state="visible" r:id="rId5"/>
    <sheet name="Materials" sheetId="4" state="visible" r:id="rId6"/>
    <sheet name="Equity" sheetId="5" state="visible" r:id="rId7"/>
    <sheet name="Beauty" sheetId="6" state="visible" r:id="rId8"/>
    <sheet name="Water (LIVE + docs)" sheetId="7" state="visible" r:id="rId9"/>
    <sheet name="Energy (LIVE + docs)" sheetId="8" state="visible" r:id="rId10"/>
    <sheet name="Summary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<sst xmlns="http://schemas.openxmlformats.org/spreadsheetml/2006/main" count="214" uniqueCount="109">
  <si>
    <t xml:space="preserve">TRPL — Living Building Challenge Petal Tracker</t>
  </si>
  <si>
    <t xml:space="preserve">Manual documentation log for LBC 4.0 · pairs with the live energy/water dashboard</t>
  </si>
  <si>
    <t xml:space="preserve">HOW TO USE</t>
  </si>
  <si>
    <t xml:space="preserve">• Each petal has its own tab. Update the shaded cells: Applies?, Status, % Complete, Evidence link, Owner, Notes, Last Updated.</t>
  </si>
  <si>
    <t xml:space="preserve">• Status options: Not Started / In Progress / Documented / Verified / Not Applicable (dropdown).</t>
  </si>
  <si>
    <t xml:space="preserve">• % Complete drives the roll-up on the Summary tab, which the lobby dashboard can read.</t>
  </si>
  <si>
    <t xml:space="preserve">TABS</t>
  </si>
  <si>
    <t xml:space="preserve">• Place, Health + Happiness, Materials, Equity, Beauty  →  documented petals (manual).</t>
  </si>
  <si>
    <t xml:space="preserve">• Water (LIVE + docs), Energy (LIVE + docs)  →  metered by EcoStruxure; imperatives listed here for the paperwork side.</t>
  </si>
  <si>
    <t xml:space="preserve">• Summary  →  auto roll-up of status counts and average completion per petal.</t>
  </si>
  <si>
    <t xml:space="preserve">NOTE ON ACCURACY</t>
  </si>
  <si>
    <t xml:space="preserve">Imperative names/numbers follow LBC 4.0. Confirm against the official Standard PDF (living-future.org) before publishing certification claims.</t>
  </si>
  <si>
    <t xml:space="preserve">Created 2026-07-30.</t>
  </si>
  <si>
    <t xml:space="preserve">Place Petal</t>
  </si>
  <si>
    <t xml:space="preserve">LBC 4.0 imperatives — update the yellow cells</t>
  </si>
  <si>
    <t xml:space="preserve">Imperative</t>
  </si>
  <si>
    <t xml:space="preserve">Name</t>
  </si>
  <si>
    <t xml:space="preserve">Requirement</t>
  </si>
  <si>
    <t xml:space="preserve">Applies?</t>
  </si>
  <si>
    <t xml:space="preserve">Status</t>
  </si>
  <si>
    <t xml:space="preserve">% Complete</t>
  </si>
  <si>
    <t xml:space="preserve">Evidence / Doc link</t>
  </si>
  <si>
    <t xml:space="preserve">Owner</t>
  </si>
  <si>
    <t xml:space="preserve">Notes</t>
  </si>
  <si>
    <t xml:space="preserve">Last Updated</t>
  </si>
  <si>
    <t xml:space="preserve">01</t>
  </si>
  <si>
    <t xml:space="preserve">Ecology of Place</t>
  </si>
  <si>
    <t xml:space="preserve">Protect/restore site ecology; build only on appropriate sites.</t>
  </si>
  <si>
    <t xml:space="preserve">Yes</t>
  </si>
  <si>
    <t xml:space="preserve">Not Started</t>
  </si>
  <si>
    <t xml:space="preserve">02</t>
  </si>
  <si>
    <t xml:space="preserve">Urban Agriculture</t>
  </si>
  <si>
    <t xml:space="preserve">Provide on-site food production appropriate to density (FAR-based).</t>
  </si>
  <si>
    <t xml:space="preserve">03</t>
  </si>
  <si>
    <t xml:space="preserve">Habitat Exchange</t>
  </si>
  <si>
    <t xml:space="preserve">Set aside/steward land equal to project footprint.</t>
  </si>
  <si>
    <t xml:space="preserve">04</t>
  </si>
  <si>
    <t xml:space="preserve">Human-Powered Living</t>
  </si>
  <si>
    <t xml:space="preserve">Support walking/cycling/transit; limit car dependence.</t>
  </si>
  <si>
    <t xml:space="preserve">Health + Happiness Petal</t>
  </si>
  <si>
    <t xml:space="preserve">09</t>
  </si>
  <si>
    <t xml:space="preserve">Healthy Interior Environment</t>
  </si>
  <si>
    <t xml:space="preserve">Ventilation, low-tox materials, entry dirt-track control.</t>
  </si>
  <si>
    <t xml:space="preserve">10</t>
  </si>
  <si>
    <t xml:space="preserve">Healthy Interior Performance</t>
  </si>
  <si>
    <t xml:space="preserve">Post-occupancy air-quality testing &amp; monitoring.</t>
  </si>
  <si>
    <t xml:space="preserve">11</t>
  </si>
  <si>
    <t xml:space="preserve">Access to Nature</t>
  </si>
  <si>
    <t xml:space="preserve">Direct connections to nature for occupants (biophilia).</t>
  </si>
  <si>
    <t xml:space="preserve">Materials Petal</t>
  </si>
  <si>
    <t xml:space="preserve">12</t>
  </si>
  <si>
    <t xml:space="preserve">Responsible Materials</t>
  </si>
  <si>
    <t xml:space="preserve">Materials strategy across the project.</t>
  </si>
  <si>
    <t xml:space="preserve">13</t>
  </si>
  <si>
    <t xml:space="preserve">Red List</t>
  </si>
  <si>
    <t xml:space="preserve">Avoid Red List chemicals/materials.</t>
  </si>
  <si>
    <t xml:space="preserve">14</t>
  </si>
  <si>
    <t xml:space="preserve">Responsible Sourcing</t>
  </si>
  <si>
    <t xml:space="preserve">Advocacy + responsible industry/product sourcing.</t>
  </si>
  <si>
    <t xml:space="preserve">15</t>
  </si>
  <si>
    <t xml:space="preserve">Living Economy Sourcing</t>
  </si>
  <si>
    <t xml:space="preserve">Source within defined distance bands to support local economy.</t>
  </si>
  <si>
    <t xml:space="preserve">16</t>
  </si>
  <si>
    <t xml:space="preserve">Net Positive Waste</t>
  </si>
  <si>
    <t xml:space="preserve">Divert construction &amp; operational waste; reuse.</t>
  </si>
  <si>
    <t xml:space="preserve">Equity Petal</t>
  </si>
  <si>
    <t xml:space="preserve">17</t>
  </si>
  <si>
    <t xml:space="preserve">Universal Access</t>
  </si>
  <si>
    <t xml:space="preserve">Equitable access to the building &amp; its services for all.</t>
  </si>
  <si>
    <t xml:space="preserve">18</t>
  </si>
  <si>
    <t xml:space="preserve">Inclusion</t>
  </si>
  <si>
    <t xml:space="preserve">JUST label / equitable, inclusive operations &amp; labor.</t>
  </si>
  <si>
    <t xml:space="preserve">Beauty Petal</t>
  </si>
  <si>
    <t xml:space="preserve">19</t>
  </si>
  <si>
    <t xml:space="preserve">Beauty + Biophilia</t>
  </si>
  <si>
    <t xml:space="preserve">Design for beauty &amp; a biophilic environment.</t>
  </si>
  <si>
    <t xml:space="preserve">20</t>
  </si>
  <si>
    <t xml:space="preserve">Education + Inspiration</t>
  </si>
  <si>
    <t xml:space="preserve">Public education, tours, interpretive/educational materials.</t>
  </si>
  <si>
    <t xml:space="preserve">Water (LIVE + docs) Petal</t>
  </si>
  <si>
    <t xml:space="preserve">05</t>
  </si>
  <si>
    <t xml:space="preserve">Responsible Water Use</t>
  </si>
  <si>
    <t xml:space="preserve">Reduce use vs baseline; no potable for irrigation. [Metered]</t>
  </si>
  <si>
    <t xml:space="preserve">06</t>
  </si>
  <si>
    <t xml:space="preserve">Net Positive Water</t>
  </si>
  <si>
    <t xml:space="preserve">Water in harmony with natural flows; capture/reuse. [Metered]</t>
  </si>
  <si>
    <t xml:space="preserve">Energy (LIVE + docs) Petal</t>
  </si>
  <si>
    <t xml:space="preserve">07</t>
  </si>
  <si>
    <t xml:space="preserve">Energy + Carbon Reduction</t>
  </si>
  <si>
    <t xml:space="preserve">Meet EUI target; reduce embodied carbon. [Metered]</t>
  </si>
  <si>
    <t xml:space="preserve">08</t>
  </si>
  <si>
    <t xml:space="preserve">Net Positive Carbon</t>
  </si>
  <si>
    <t xml:space="preserve">Supply 105% of energy from on-site renewables. [Metered]</t>
  </si>
  <si>
    <t xml:space="preserve">Certification Summary</t>
  </si>
  <si>
    <t xml:space="preserve">Auto roll-up — the lobby dashboard can read this tab</t>
  </si>
  <si>
    <t xml:space="preserve">Petal</t>
  </si>
  <si>
    <t xml:space="preserve">Imperatives</t>
  </si>
  <si>
    <t xml:space="preserve">Verified</t>
  </si>
  <si>
    <t xml:space="preserve">Documented</t>
  </si>
  <si>
    <t xml:space="preserve">In Progress</t>
  </si>
  <si>
    <t xml:space="preserve">Avg % Complete</t>
  </si>
  <si>
    <t xml:space="preserve">Place</t>
  </si>
  <si>
    <t xml:space="preserve">Health + Happiness</t>
  </si>
  <si>
    <t xml:space="preserve">Materials</t>
  </si>
  <si>
    <t xml:space="preserve">Equity</t>
  </si>
  <si>
    <t xml:space="preserve">Beauty</t>
  </si>
  <si>
    <t xml:space="preserve">Water (LIVE + docs)</t>
  </si>
  <si>
    <t xml:space="preserve">Energy (LIVE + docs)</t>
  </si>
  <si>
    <t xml:space="preserve">TOTAL / AVG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</si>
</sst>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6221F"/>
      <name val="Arial"/>
      <family val="0"/>
      <charset val="1"/>
    </font>
    <font>
      <i val="true"/>
      <sz val="10"/>
      <color rgb="FF6B6B60"/>
      <name val="Arial"/>
      <family val="0"/>
      <charset val="1"/>
    </font>
    <font>
      <sz val="10"/>
      <color rgb="FF16221F"/>
      <name val="Arial"/>
      <family val="0"/>
      <charset val="1"/>
    </font>
    <font>
      <b val="true"/>
      <sz val="10"/>
      <color rgb="FF16221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6221F"/>
        <bgColor rgb="FF333333"/>
      </patternFill>
    </fill>
    <fill>
      <patternFill patternType="solid">
        <fgColor rgb="FFFFF6D6"/>
        <bgColor rgb="FFFFFFFF"/>
      </patternFill>
    </fill>
    <fill>
      <patternFill patternType="solid">
        <fgColor rgb="FFE4F1E8"/>
        <bgColor rgb="FFFFF6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9C0"/>
      </left>
      <right style="thin">
        <color rgb="FFC9C9C0"/>
      </right>
      <top style="thin">
        <color rgb="FFC9C9C0"/>
      </top>
      <bottom style="thin">
        <color rgb="FFC9C9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9C0"/>
      <rgbColor rgb="FF808080"/>
      <rgbColor rgb="FF9999FF"/>
      <rgbColor rgb="FF993366"/>
      <rgbColor rgb="FFFFF6D6"/>
      <rgbColor rgb="FFE4F1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B60"/>
      <rgbColor rgb="FF969696"/>
      <rgbColor rgb="FF003366"/>
      <rgbColor rgb="FF339966"/>
      <rgbColor rgb="FF16221F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/>
    </row>
    <row r="5" customFormat="false" ht="15" hidden="false" customHeight="false" outlineLevel="0" collapsed="false">
      <c r="A5" s="4" t="s">
        <v>2</v>
      </c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/>
    </row>
    <row r="10" customFormat="false" ht="15" hidden="false" customHeight="false" outlineLevel="0" collapsed="false">
      <c r="A10" s="4" t="s">
        <v>6</v>
      </c>
    </row>
    <row r="11" customFormat="false" ht="15" hidden="false" customHeight="false" outlineLevel="0" collapsed="false">
      <c r="A11" s="3" t="s">
        <v>7</v>
      </c>
    </row>
    <row r="12" customFormat="false" ht="15" hidden="false" customHeight="false" outlineLevel="0" collapsed="false">
      <c r="A12" s="3" t="s">
        <v>8</v>
      </c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3"/>
    </row>
    <row r="15" customFormat="false" ht="15" hidden="false" customHeight="false" outlineLevel="0" collapsed="false">
      <c r="A15" s="4" t="s">
        <v>10</v>
      </c>
    </row>
    <row r="16" customFormat="false" ht="15" hidden="false" customHeight="false" outlineLevel="0" collapsed="false">
      <c r="A16" s="3" t="s">
        <v>11</v>
      </c>
    </row>
    <row r="17" customFormat="false" ht="15" hidden="false" customHeight="false" outlineLevel="0" collapsed="false">
      <c r="A17" s="3"/>
    </row>
    <row r="18" customFormat="false" ht="15" hidden="false" customHeight="false" outlineLevel="0" collapsed="false">
      <c r="A18" s="3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6"/>
    <col collapsed="false" customWidth="true" hidden="false" outlineLevel="0" max="3" min="3" style="0" width="44"/>
    <col collapsed="false" customWidth="true" hidden="false" outlineLevel="0" max="4" min="4" style="0" width="9"/>
    <col collapsed="false" customWidth="true" hidden="false" outlineLevel="0" max="5" min="5" style="0" width="15"/>
    <col collapsed="false" customWidth="true" hidden="false" outlineLevel="0" max="6" min="6" style="0" width="11"/>
    <col collapsed="false" customWidth="true" hidden="false" outlineLevel="0" max="7" min="7" style="0" width="30"/>
    <col collapsed="false" customWidth="true" hidden="false" outlineLevel="0" max="8" min="8" style="0" width="16"/>
    <col collapsed="false" customWidth="true" hidden="false" outlineLevel="0" max="9" min="9" style="0" width="30"/>
    <col collapsed="false" customWidth="true" hidden="false" outlineLevel="0" max="10" min="10" style="0" width="14"/>
  </cols>
  <sheetData>
    <row r="1" customFormat="false" ht="18.55" hidden="false" customHeight="false" outlineLevel="0" collapsed="false">
      <c r="A1" s="1" t="s">
        <v>13</v>
      </c>
    </row>
    <row r="2" customFormat="false" ht="15" hidden="false" customHeight="false" outlineLevel="0" collapsed="false">
      <c r="A2" s="2" t="s">
        <v>14</v>
      </c>
    </row>
    <row r="4" customFormat="false" ht="15" hidden="false" customHeight="false" outlineLevel="0" collapsed="false">
      <c r="A4" s="5" t="s">
        <v>15</v>
      </c>
      <c r="B4" s="5" t="s">
        <v>16</v>
      </c>
      <c r="C4" s="5" t="s">
        <v>17</v>
      </c>
      <c r="D4" s="5" t="s">
        <v>18</v>
      </c>
      <c r="E4" s="5" t="s">
        <v>19</v>
      </c>
      <c r="F4" s="5" t="s">
        <v>20</v>
      </c>
      <c r="G4" s="5" t="s">
        <v>21</v>
      </c>
      <c r="H4" s="5" t="s">
        <v>22</v>
      </c>
      <c r="I4" s="5" t="s">
        <v>23</v>
      </c>
      <c r="J4" s="5" t="s">
        <v>24</v>
      </c>
    </row>
    <row r="5" customFormat="false" ht="23.85" hidden="false" customHeight="false" outlineLevel="0" collapsed="false">
      <c r="A5" s="6" t="s">
        <v>25</v>
      </c>
      <c r="B5" s="6" t="s">
        <v>26</v>
      </c>
      <c r="C5" s="6" t="s">
        <v>27</v>
      </c>
      <c r="D5" s="7" t="s">
        <v>28</v>
      </c>
      <c r="E5" s="7" t="s">
        <v>29</v>
      </c>
      <c r="F5" s="8" t="n">
        <v>0</v>
      </c>
      <c r="G5" s="7"/>
      <c r="H5" s="7"/>
      <c r="I5" s="7"/>
      <c r="J5" s="7"/>
    </row>
    <row r="6" customFormat="false" ht="23.85" hidden="false" customHeight="false" outlineLevel="0" collapsed="false">
      <c r="A6" s="6" t="s">
        <v>30</v>
      </c>
      <c r="B6" s="6" t="s">
        <v>31</v>
      </c>
      <c r="C6" s="6" t="s">
        <v>32</v>
      </c>
      <c r="D6" s="7" t="s">
        <v>28</v>
      </c>
      <c r="E6" s="7" t="s">
        <v>29</v>
      </c>
      <c r="F6" s="8" t="n">
        <v>0</v>
      </c>
      <c r="G6" s="7"/>
      <c r="H6" s="7"/>
      <c r="I6" s="7"/>
      <c r="J6" s="7"/>
    </row>
    <row r="7" customFormat="false" ht="15" hidden="false" customHeight="false" outlineLevel="0" collapsed="false">
      <c r="A7" s="6" t="s">
        <v>33</v>
      </c>
      <c r="B7" s="6" t="s">
        <v>34</v>
      </c>
      <c r="C7" s="6" t="s">
        <v>35</v>
      </c>
      <c r="D7" s="7" t="s">
        <v>28</v>
      </c>
      <c r="E7" s="7" t="s">
        <v>29</v>
      </c>
      <c r="F7" s="8" t="n">
        <v>0</v>
      </c>
      <c r="G7" s="7"/>
      <c r="H7" s="7"/>
      <c r="I7" s="7"/>
      <c r="J7" s="7"/>
    </row>
    <row r="8" customFormat="false" ht="15" hidden="false" customHeight="false" outlineLevel="0" collapsed="false">
      <c r="A8" s="6" t="s">
        <v>36</v>
      </c>
      <c r="B8" s="6" t="s">
        <v>37</v>
      </c>
      <c r="C8" s="6" t="s">
        <v>38</v>
      </c>
      <c r="D8" s="7" t="s">
        <v>28</v>
      </c>
      <c r="E8" s="7" t="s">
        <v>29</v>
      </c>
      <c r="F8" s="8" t="n">
        <v>0</v>
      </c>
      <c r="G8" s="7"/>
      <c r="H8" s="7"/>
      <c r="I8" s="7"/>
      <c r="J8" s="7"/>
    </row>
  </sheetData>
  <dataValidations count="2">
    <dataValidation allowBlank="true" errorStyle="stop" operator="between" showDropDown="false" showErrorMessage="false" showInputMessage="false" sqref="E5:E8" type="list">
      <formula1>"Not Started,In Progress,Documented,Verified,Not Applicable"</formula1>
      <formula2>0</formula2>
    </dataValidation>
    <dataValidation allowBlank="true" errorStyle="stop" operator="between" showDropDown="false" showErrorMessage="false" showInputMessage="false" sqref="D5:D8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6"/>
    <col collapsed="false" customWidth="true" hidden="false" outlineLevel="0" max="3" min="3" style="0" width="44"/>
    <col collapsed="false" customWidth="true" hidden="false" outlineLevel="0" max="4" min="4" style="0" width="9"/>
    <col collapsed="false" customWidth="true" hidden="false" outlineLevel="0" max="5" min="5" style="0" width="15"/>
    <col collapsed="false" customWidth="true" hidden="false" outlineLevel="0" max="6" min="6" style="0" width="11"/>
    <col collapsed="false" customWidth="true" hidden="false" outlineLevel="0" max="7" min="7" style="0" width="30"/>
    <col collapsed="false" customWidth="true" hidden="false" outlineLevel="0" max="8" min="8" style="0" width="16"/>
    <col collapsed="false" customWidth="true" hidden="false" outlineLevel="0" max="9" min="9" style="0" width="30"/>
    <col collapsed="false" customWidth="true" hidden="false" outlineLevel="0" max="10" min="10" style="0" width="14"/>
  </cols>
  <sheetData>
    <row r="1" customFormat="false" ht="18.55" hidden="false" customHeight="false" outlineLevel="0" collapsed="false">
      <c r="A1" s="1" t="s">
        <v>39</v>
      </c>
    </row>
    <row r="2" customFormat="false" ht="15" hidden="false" customHeight="false" outlineLevel="0" collapsed="false">
      <c r="A2" s="2" t="s">
        <v>14</v>
      </c>
    </row>
    <row r="4" customFormat="false" ht="15" hidden="false" customHeight="false" outlineLevel="0" collapsed="false">
      <c r="A4" s="5" t="s">
        <v>15</v>
      </c>
      <c r="B4" s="5" t="s">
        <v>16</v>
      </c>
      <c r="C4" s="5" t="s">
        <v>17</v>
      </c>
      <c r="D4" s="5" t="s">
        <v>18</v>
      </c>
      <c r="E4" s="5" t="s">
        <v>19</v>
      </c>
      <c r="F4" s="5" t="s">
        <v>20</v>
      </c>
      <c r="G4" s="5" t="s">
        <v>21</v>
      </c>
      <c r="H4" s="5" t="s">
        <v>22</v>
      </c>
      <c r="I4" s="5" t="s">
        <v>23</v>
      </c>
      <c r="J4" s="5" t="s">
        <v>24</v>
      </c>
    </row>
    <row r="5" customFormat="false" ht="15" hidden="false" customHeight="false" outlineLevel="0" collapsed="false">
      <c r="A5" s="6" t="s">
        <v>40</v>
      </c>
      <c r="B5" s="6" t="s">
        <v>41</v>
      </c>
      <c r="C5" s="6" t="s">
        <v>42</v>
      </c>
      <c r="D5" s="7" t="s">
        <v>28</v>
      </c>
      <c r="E5" s="7" t="s">
        <v>29</v>
      </c>
      <c r="F5" s="8" t="n">
        <v>0</v>
      </c>
      <c r="G5" s="7"/>
      <c r="H5" s="7"/>
      <c r="I5" s="7"/>
      <c r="J5" s="7"/>
    </row>
    <row r="6" customFormat="false" ht="15" hidden="false" customHeight="false" outlineLevel="0" collapsed="false">
      <c r="A6" s="6" t="s">
        <v>43</v>
      </c>
      <c r="B6" s="6" t="s">
        <v>44</v>
      </c>
      <c r="C6" s="6" t="s">
        <v>45</v>
      </c>
      <c r="D6" s="7" t="s">
        <v>28</v>
      </c>
      <c r="E6" s="7" t="s">
        <v>29</v>
      </c>
      <c r="F6" s="8" t="n">
        <v>0</v>
      </c>
      <c r="G6" s="7"/>
      <c r="H6" s="7"/>
      <c r="I6" s="7"/>
      <c r="J6" s="7"/>
    </row>
    <row r="7" customFormat="false" ht="15" hidden="false" customHeight="false" outlineLevel="0" collapsed="false">
      <c r="A7" s="6" t="s">
        <v>46</v>
      </c>
      <c r="B7" s="6" t="s">
        <v>47</v>
      </c>
      <c r="C7" s="6" t="s">
        <v>48</v>
      </c>
      <c r="D7" s="7" t="s">
        <v>28</v>
      </c>
      <c r="E7" s="7" t="s">
        <v>29</v>
      </c>
      <c r="F7" s="8" t="n">
        <v>0</v>
      </c>
      <c r="G7" s="7"/>
      <c r="H7" s="7"/>
      <c r="I7" s="7"/>
      <c r="J7" s="7"/>
    </row>
  </sheetData>
  <dataValidations count="2">
    <dataValidation allowBlank="true" errorStyle="stop" operator="between" showDropDown="false" showErrorMessage="false" showInputMessage="false" sqref="E5:E7" type="list">
      <formula1>"Not Started,In Progress,Documented,Verified,Not Applicable"</formula1>
      <formula2>0</formula2>
    </dataValidation>
    <dataValidation allowBlank="true" errorStyle="stop" operator="between" showDropDown="false" showErrorMessage="false" showInputMessage="false" sqref="D5:D7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6"/>
    <col collapsed="false" customWidth="true" hidden="false" outlineLevel="0" max="3" min="3" style="0" width="44"/>
    <col collapsed="false" customWidth="true" hidden="false" outlineLevel="0" max="4" min="4" style="0" width="9"/>
    <col collapsed="false" customWidth="true" hidden="false" outlineLevel="0" max="5" min="5" style="0" width="15"/>
    <col collapsed="false" customWidth="true" hidden="false" outlineLevel="0" max="6" min="6" style="0" width="11"/>
    <col collapsed="false" customWidth="true" hidden="false" outlineLevel="0" max="7" min="7" style="0" width="30"/>
    <col collapsed="false" customWidth="true" hidden="false" outlineLevel="0" max="8" min="8" style="0" width="16"/>
    <col collapsed="false" customWidth="true" hidden="false" outlineLevel="0" max="9" min="9" style="0" width="30"/>
    <col collapsed="false" customWidth="true" hidden="false" outlineLevel="0" max="10" min="10" style="0" width="14"/>
  </cols>
  <sheetData>
    <row r="1" customFormat="false" ht="18.55" hidden="false" customHeight="false" outlineLevel="0" collapsed="false">
      <c r="A1" s="1" t="s">
        <v>49</v>
      </c>
    </row>
    <row r="2" customFormat="false" ht="15" hidden="false" customHeight="false" outlineLevel="0" collapsed="false">
      <c r="A2" s="2" t="s">
        <v>14</v>
      </c>
    </row>
    <row r="4" customFormat="false" ht="15" hidden="false" customHeight="false" outlineLevel="0" collapsed="false">
      <c r="A4" s="5" t="s">
        <v>15</v>
      </c>
      <c r="B4" s="5" t="s">
        <v>16</v>
      </c>
      <c r="C4" s="5" t="s">
        <v>17</v>
      </c>
      <c r="D4" s="5" t="s">
        <v>18</v>
      </c>
      <c r="E4" s="5" t="s">
        <v>19</v>
      </c>
      <c r="F4" s="5" t="s">
        <v>20</v>
      </c>
      <c r="G4" s="5" t="s">
        <v>21</v>
      </c>
      <c r="H4" s="5" t="s">
        <v>22</v>
      </c>
      <c r="I4" s="5" t="s">
        <v>23</v>
      </c>
      <c r="J4" s="5" t="s">
        <v>24</v>
      </c>
    </row>
    <row r="5" customFormat="false" ht="15" hidden="false" customHeight="false" outlineLevel="0" collapsed="false">
      <c r="A5" s="6" t="s">
        <v>50</v>
      </c>
      <c r="B5" s="6" t="s">
        <v>51</v>
      </c>
      <c r="C5" s="6" t="s">
        <v>52</v>
      </c>
      <c r="D5" s="7" t="s">
        <v>28</v>
      </c>
      <c r="E5" s="7" t="s">
        <v>29</v>
      </c>
      <c r="F5" s="8" t="n">
        <v>0</v>
      </c>
      <c r="G5" s="7"/>
      <c r="H5" s="7"/>
      <c r="I5" s="7"/>
      <c r="J5" s="7"/>
    </row>
    <row r="6" customFormat="false" ht="15" hidden="false" customHeight="false" outlineLevel="0" collapsed="false">
      <c r="A6" s="6" t="s">
        <v>53</v>
      </c>
      <c r="B6" s="6" t="s">
        <v>54</v>
      </c>
      <c r="C6" s="6" t="s">
        <v>55</v>
      </c>
      <c r="D6" s="7" t="s">
        <v>28</v>
      </c>
      <c r="E6" s="7" t="s">
        <v>29</v>
      </c>
      <c r="F6" s="8" t="n">
        <v>0</v>
      </c>
      <c r="G6" s="7"/>
      <c r="H6" s="7"/>
      <c r="I6" s="7"/>
      <c r="J6" s="7"/>
    </row>
    <row r="7" customFormat="false" ht="15" hidden="false" customHeight="false" outlineLevel="0" collapsed="false">
      <c r="A7" s="6" t="s">
        <v>56</v>
      </c>
      <c r="B7" s="6" t="s">
        <v>57</v>
      </c>
      <c r="C7" s="6" t="s">
        <v>58</v>
      </c>
      <c r="D7" s="7" t="s">
        <v>28</v>
      </c>
      <c r="E7" s="7" t="s">
        <v>29</v>
      </c>
      <c r="F7" s="8" t="n">
        <v>0</v>
      </c>
      <c r="G7" s="7"/>
      <c r="H7" s="7"/>
      <c r="I7" s="7"/>
      <c r="J7" s="7"/>
    </row>
    <row r="8" customFormat="false" ht="23.85" hidden="false" customHeight="false" outlineLevel="0" collapsed="false">
      <c r="A8" s="6" t="s">
        <v>59</v>
      </c>
      <c r="B8" s="6" t="s">
        <v>60</v>
      </c>
      <c r="C8" s="6" t="s">
        <v>61</v>
      </c>
      <c r="D8" s="7" t="s">
        <v>28</v>
      </c>
      <c r="E8" s="7" t="s">
        <v>29</v>
      </c>
      <c r="F8" s="8" t="n">
        <v>0</v>
      </c>
      <c r="G8" s="7"/>
      <c r="H8" s="7"/>
      <c r="I8" s="7"/>
      <c r="J8" s="7"/>
    </row>
    <row r="9" customFormat="false" ht="15" hidden="false" customHeight="false" outlineLevel="0" collapsed="false">
      <c r="A9" s="6" t="s">
        <v>62</v>
      </c>
      <c r="B9" s="6" t="s">
        <v>63</v>
      </c>
      <c r="C9" s="6" t="s">
        <v>64</v>
      </c>
      <c r="D9" s="7" t="s">
        <v>28</v>
      </c>
      <c r="E9" s="7" t="s">
        <v>29</v>
      </c>
      <c r="F9" s="8" t="n">
        <v>0</v>
      </c>
      <c r="G9" s="7"/>
      <c r="H9" s="7"/>
      <c r="I9" s="7"/>
      <c r="J9" s="7"/>
    </row>
  </sheetData>
  <dataValidations count="2">
    <dataValidation allowBlank="true" errorStyle="stop" operator="between" showDropDown="false" showErrorMessage="false" showInputMessage="false" sqref="E5:E9" type="list">
      <formula1>"Not Started,In Progress,Documented,Verified,Not Applicable"</formula1>
      <formula2>0</formula2>
    </dataValidation>
    <dataValidation allowBlank="true" errorStyle="stop" operator="between" showDropDown="false" showErrorMessage="false" showInputMessage="false" sqref="D5:D9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6"/>
    <col collapsed="false" customWidth="true" hidden="false" outlineLevel="0" max="3" min="3" style="0" width="44"/>
    <col collapsed="false" customWidth="true" hidden="false" outlineLevel="0" max="4" min="4" style="0" width="9"/>
    <col collapsed="false" customWidth="true" hidden="false" outlineLevel="0" max="5" min="5" style="0" width="15"/>
    <col collapsed="false" customWidth="true" hidden="false" outlineLevel="0" max="6" min="6" style="0" width="11"/>
    <col collapsed="false" customWidth="true" hidden="false" outlineLevel="0" max="7" min="7" style="0" width="30"/>
    <col collapsed="false" customWidth="true" hidden="false" outlineLevel="0" max="8" min="8" style="0" width="16"/>
    <col collapsed="false" customWidth="true" hidden="false" outlineLevel="0" max="9" min="9" style="0" width="30"/>
    <col collapsed="false" customWidth="true" hidden="false" outlineLevel="0" max="10" min="10" style="0" width="14"/>
  </cols>
  <sheetData>
    <row r="1" customFormat="false" ht="18.55" hidden="false" customHeight="false" outlineLevel="0" collapsed="false">
      <c r="A1" s="1" t="s">
        <v>65</v>
      </c>
    </row>
    <row r="2" customFormat="false" ht="15" hidden="false" customHeight="false" outlineLevel="0" collapsed="false">
      <c r="A2" s="2" t="s">
        <v>14</v>
      </c>
    </row>
    <row r="4" customFormat="false" ht="15" hidden="false" customHeight="false" outlineLevel="0" collapsed="false">
      <c r="A4" s="5" t="s">
        <v>15</v>
      </c>
      <c r="B4" s="5" t="s">
        <v>16</v>
      </c>
      <c r="C4" s="5" t="s">
        <v>17</v>
      </c>
      <c r="D4" s="5" t="s">
        <v>18</v>
      </c>
      <c r="E4" s="5" t="s">
        <v>19</v>
      </c>
      <c r="F4" s="5" t="s">
        <v>20</v>
      </c>
      <c r="G4" s="5" t="s">
        <v>21</v>
      </c>
      <c r="H4" s="5" t="s">
        <v>22</v>
      </c>
      <c r="I4" s="5" t="s">
        <v>23</v>
      </c>
      <c r="J4" s="5" t="s">
        <v>24</v>
      </c>
    </row>
    <row r="5" customFormat="false" ht="15" hidden="false" customHeight="false" outlineLevel="0" collapsed="false">
      <c r="A5" s="6" t="s">
        <v>66</v>
      </c>
      <c r="B5" s="6" t="s">
        <v>67</v>
      </c>
      <c r="C5" s="6" t="s">
        <v>68</v>
      </c>
      <c r="D5" s="7" t="s">
        <v>28</v>
      </c>
      <c r="E5" s="7" t="s">
        <v>29</v>
      </c>
      <c r="F5" s="8" t="n">
        <v>0</v>
      </c>
      <c r="G5" s="7"/>
      <c r="H5" s="7"/>
      <c r="I5" s="7"/>
      <c r="J5" s="7"/>
    </row>
    <row r="6" customFormat="false" ht="15" hidden="false" customHeight="false" outlineLevel="0" collapsed="false">
      <c r="A6" s="6" t="s">
        <v>69</v>
      </c>
      <c r="B6" s="6" t="s">
        <v>70</v>
      </c>
      <c r="C6" s="6" t="s">
        <v>71</v>
      </c>
      <c r="D6" s="7" t="s">
        <v>28</v>
      </c>
      <c r="E6" s="7" t="s">
        <v>29</v>
      </c>
      <c r="F6" s="8" t="n">
        <v>0</v>
      </c>
      <c r="G6" s="7"/>
      <c r="H6" s="7"/>
      <c r="I6" s="7"/>
      <c r="J6" s="7"/>
    </row>
  </sheetData>
  <dataValidations count="2">
    <dataValidation allowBlank="true" errorStyle="stop" operator="between" showDropDown="false" showErrorMessage="false" showInputMessage="false" sqref="E5:E6" type="list">
      <formula1>"Not Started,In Progress,Documented,Verified,Not Applicable"</formula1>
      <formula2>0</formula2>
    </dataValidation>
    <dataValidation allowBlank="true" errorStyle="stop" operator="between" showDropDown="false" showErrorMessage="false" showInputMessage="false" sqref="D5:D6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6"/>
    <col collapsed="false" customWidth="true" hidden="false" outlineLevel="0" max="3" min="3" style="0" width="44"/>
    <col collapsed="false" customWidth="true" hidden="false" outlineLevel="0" max="4" min="4" style="0" width="9"/>
    <col collapsed="false" customWidth="true" hidden="false" outlineLevel="0" max="5" min="5" style="0" width="15"/>
    <col collapsed="false" customWidth="true" hidden="false" outlineLevel="0" max="6" min="6" style="0" width="11"/>
    <col collapsed="false" customWidth="true" hidden="false" outlineLevel="0" max="7" min="7" style="0" width="30"/>
    <col collapsed="false" customWidth="true" hidden="false" outlineLevel="0" max="8" min="8" style="0" width="16"/>
    <col collapsed="false" customWidth="true" hidden="false" outlineLevel="0" max="9" min="9" style="0" width="30"/>
    <col collapsed="false" customWidth="true" hidden="false" outlineLevel="0" max="10" min="10" style="0" width="14"/>
  </cols>
  <sheetData>
    <row r="1" customFormat="false" ht="18.55" hidden="false" customHeight="false" outlineLevel="0" collapsed="false">
      <c r="A1" s="1" t="s">
        <v>72</v>
      </c>
    </row>
    <row r="2" customFormat="false" ht="15" hidden="false" customHeight="false" outlineLevel="0" collapsed="false">
      <c r="A2" s="2" t="s">
        <v>14</v>
      </c>
    </row>
    <row r="4" customFormat="false" ht="15" hidden="false" customHeight="false" outlineLevel="0" collapsed="false">
      <c r="A4" s="5" t="s">
        <v>15</v>
      </c>
      <c r="B4" s="5" t="s">
        <v>16</v>
      </c>
      <c r="C4" s="5" t="s">
        <v>17</v>
      </c>
      <c r="D4" s="5" t="s">
        <v>18</v>
      </c>
      <c r="E4" s="5" t="s">
        <v>19</v>
      </c>
      <c r="F4" s="5" t="s">
        <v>20</v>
      </c>
      <c r="G4" s="5" t="s">
        <v>21</v>
      </c>
      <c r="H4" s="5" t="s">
        <v>22</v>
      </c>
      <c r="I4" s="5" t="s">
        <v>23</v>
      </c>
      <c r="J4" s="5" t="s">
        <v>24</v>
      </c>
    </row>
    <row r="5" customFormat="false" ht="15" hidden="false" customHeight="false" outlineLevel="0" collapsed="false">
      <c r="A5" s="6" t="s">
        <v>73</v>
      </c>
      <c r="B5" s="6" t="s">
        <v>74</v>
      </c>
      <c r="C5" s="6" t="s">
        <v>75</v>
      </c>
      <c r="D5" s="7" t="s">
        <v>28</v>
      </c>
      <c r="E5" s="7" t="s">
        <v>29</v>
      </c>
      <c r="F5" s="8" t="n">
        <v>0</v>
      </c>
      <c r="G5" s="7"/>
      <c r="H5" s="7"/>
      <c r="I5" s="7"/>
      <c r="J5" s="7"/>
    </row>
    <row r="6" customFormat="false" ht="23.85" hidden="false" customHeight="false" outlineLevel="0" collapsed="false">
      <c r="A6" s="6" t="s">
        <v>76</v>
      </c>
      <c r="B6" s="6" t="s">
        <v>77</v>
      </c>
      <c r="C6" s="6" t="s">
        <v>78</v>
      </c>
      <c r="D6" s="7" t="s">
        <v>28</v>
      </c>
      <c r="E6" s="7" t="s">
        <v>29</v>
      </c>
      <c r="F6" s="8" t="n">
        <v>0</v>
      </c>
      <c r="G6" s="7"/>
      <c r="H6" s="7"/>
      <c r="I6" s="7"/>
      <c r="J6" s="7"/>
    </row>
  </sheetData>
  <dataValidations count="2">
    <dataValidation allowBlank="true" errorStyle="stop" operator="between" showDropDown="false" showErrorMessage="false" showInputMessage="false" sqref="E5:E6" type="list">
      <formula1>"Not Started,In Progress,Documented,Verified,Not Applicable"</formula1>
      <formula2>0</formula2>
    </dataValidation>
    <dataValidation allowBlank="true" errorStyle="stop" operator="between" showDropDown="false" showErrorMessage="false" showInputMessage="false" sqref="D5:D6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6"/>
    <col collapsed="false" customWidth="true" hidden="false" outlineLevel="0" max="3" min="3" style="0" width="44"/>
    <col collapsed="false" customWidth="true" hidden="false" outlineLevel="0" max="4" min="4" style="0" width="9"/>
    <col collapsed="false" customWidth="true" hidden="false" outlineLevel="0" max="5" min="5" style="0" width="15"/>
    <col collapsed="false" customWidth="true" hidden="false" outlineLevel="0" max="6" min="6" style="0" width="11"/>
    <col collapsed="false" customWidth="true" hidden="false" outlineLevel="0" max="7" min="7" style="0" width="30"/>
    <col collapsed="false" customWidth="true" hidden="false" outlineLevel="0" max="8" min="8" style="0" width="16"/>
    <col collapsed="false" customWidth="true" hidden="false" outlineLevel="0" max="9" min="9" style="0" width="30"/>
    <col collapsed="false" customWidth="true" hidden="false" outlineLevel="0" max="10" min="10" style="0" width="14"/>
  </cols>
  <sheetData>
    <row r="1" customFormat="false" ht="18.55" hidden="false" customHeight="false" outlineLevel="0" collapsed="false">
      <c r="A1" s="1" t="s">
        <v>79</v>
      </c>
    </row>
    <row r="2" customFormat="false" ht="15" hidden="false" customHeight="false" outlineLevel="0" collapsed="false">
      <c r="A2" s="2" t="s">
        <v>14</v>
      </c>
    </row>
    <row r="4" customFormat="false" ht="15" hidden="false" customHeight="false" outlineLevel="0" collapsed="false">
      <c r="A4" s="5" t="s">
        <v>15</v>
      </c>
      <c r="B4" s="5" t="s">
        <v>16</v>
      </c>
      <c r="C4" s="5" t="s">
        <v>17</v>
      </c>
      <c r="D4" s="5" t="s">
        <v>18</v>
      </c>
      <c r="E4" s="5" t="s">
        <v>19</v>
      </c>
      <c r="F4" s="5" t="s">
        <v>20</v>
      </c>
      <c r="G4" s="5" t="s">
        <v>21</v>
      </c>
      <c r="H4" s="5" t="s">
        <v>22</v>
      </c>
      <c r="I4" s="5" t="s">
        <v>23</v>
      </c>
      <c r="J4" s="5" t="s">
        <v>24</v>
      </c>
    </row>
    <row r="5" customFormat="false" ht="23.85" hidden="false" customHeight="false" outlineLevel="0" collapsed="false">
      <c r="A5" s="6" t="s">
        <v>80</v>
      </c>
      <c r="B5" s="6" t="s">
        <v>81</v>
      </c>
      <c r="C5" s="6" t="s">
        <v>82</v>
      </c>
      <c r="D5" s="9" t="s">
        <v>28</v>
      </c>
      <c r="E5" s="9" t="s">
        <v>29</v>
      </c>
      <c r="F5" s="10" t="n">
        <v>0</v>
      </c>
      <c r="G5" s="9"/>
      <c r="H5" s="9"/>
      <c r="I5" s="9"/>
      <c r="J5" s="9"/>
    </row>
    <row r="6" customFormat="false" ht="23.85" hidden="false" customHeight="false" outlineLevel="0" collapsed="false">
      <c r="A6" s="6" t="s">
        <v>83</v>
      </c>
      <c r="B6" s="6" t="s">
        <v>84</v>
      </c>
      <c r="C6" s="6" t="s">
        <v>85</v>
      </c>
      <c r="D6" s="9" t="s">
        <v>28</v>
      </c>
      <c r="E6" s="9" t="s">
        <v>29</v>
      </c>
      <c r="F6" s="10" t="n">
        <v>0</v>
      </c>
      <c r="G6" s="9"/>
      <c r="H6" s="9"/>
      <c r="I6" s="9"/>
      <c r="J6" s="9"/>
    </row>
  </sheetData>
  <dataValidations count="2">
    <dataValidation allowBlank="true" errorStyle="stop" operator="between" showDropDown="false" showErrorMessage="false" showInputMessage="false" sqref="E5:E6" type="list">
      <formula1>"Not Started,In Progress,Documented,Verified,Not Applicable"</formula1>
      <formula2>0</formula2>
    </dataValidation>
    <dataValidation allowBlank="true" errorStyle="stop" operator="between" showDropDown="false" showErrorMessage="false" showInputMessage="false" sqref="D5:D6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6"/>
    <col collapsed="false" customWidth="true" hidden="false" outlineLevel="0" max="3" min="3" style="0" width="44"/>
    <col collapsed="false" customWidth="true" hidden="false" outlineLevel="0" max="4" min="4" style="0" width="9"/>
    <col collapsed="false" customWidth="true" hidden="false" outlineLevel="0" max="5" min="5" style="0" width="15"/>
    <col collapsed="false" customWidth="true" hidden="false" outlineLevel="0" max="6" min="6" style="0" width="11"/>
    <col collapsed="false" customWidth="true" hidden="false" outlineLevel="0" max="7" min="7" style="0" width="30"/>
    <col collapsed="false" customWidth="true" hidden="false" outlineLevel="0" max="8" min="8" style="0" width="16"/>
    <col collapsed="false" customWidth="true" hidden="false" outlineLevel="0" max="9" min="9" style="0" width="30"/>
    <col collapsed="false" customWidth="true" hidden="false" outlineLevel="0" max="10" min="10" style="0" width="14"/>
  </cols>
  <sheetData>
    <row r="1" customFormat="false" ht="18.55" hidden="false" customHeight="false" outlineLevel="0" collapsed="false">
      <c r="A1" s="1" t="s">
        <v>86</v>
      </c>
    </row>
    <row r="2" customFormat="false" ht="15" hidden="false" customHeight="false" outlineLevel="0" collapsed="false">
      <c r="A2" s="2" t="s">
        <v>14</v>
      </c>
    </row>
    <row r="4" customFormat="false" ht="15" hidden="false" customHeight="false" outlineLevel="0" collapsed="false">
      <c r="A4" s="5" t="s">
        <v>15</v>
      </c>
      <c r="B4" s="5" t="s">
        <v>16</v>
      </c>
      <c r="C4" s="5" t="s">
        <v>17</v>
      </c>
      <c r="D4" s="5" t="s">
        <v>18</v>
      </c>
      <c r="E4" s="5" t="s">
        <v>19</v>
      </c>
      <c r="F4" s="5" t="s">
        <v>20</v>
      </c>
      <c r="G4" s="5" t="s">
        <v>21</v>
      </c>
      <c r="H4" s="5" t="s">
        <v>22</v>
      </c>
      <c r="I4" s="5" t="s">
        <v>23</v>
      </c>
      <c r="J4" s="5" t="s">
        <v>24</v>
      </c>
    </row>
    <row r="5" customFormat="false" ht="15" hidden="false" customHeight="false" outlineLevel="0" collapsed="false">
      <c r="A5" s="6" t="s">
        <v>87</v>
      </c>
      <c r="B5" s="6" t="s">
        <v>88</v>
      </c>
      <c r="C5" s="6" t="s">
        <v>89</v>
      </c>
      <c r="D5" s="9" t="s">
        <v>28</v>
      </c>
      <c r="E5" s="9" t="s">
        <v>29</v>
      </c>
      <c r="F5" s="10" t="n">
        <v>0</v>
      </c>
      <c r="G5" s="9"/>
      <c r="H5" s="9"/>
      <c r="I5" s="9"/>
      <c r="J5" s="9"/>
    </row>
    <row r="6" customFormat="false" ht="23.85" hidden="false" customHeight="false" outlineLevel="0" collapsed="false">
      <c r="A6" s="6" t="s">
        <v>90</v>
      </c>
      <c r="B6" s="6" t="s">
        <v>91</v>
      </c>
      <c r="C6" s="6" t="s">
        <v>92</v>
      </c>
      <c r="D6" s="9" t="s">
        <v>28</v>
      </c>
      <c r="E6" s="9" t="s">
        <v>29</v>
      </c>
      <c r="F6" s="10" t="n">
        <v>0</v>
      </c>
      <c r="G6" s="9"/>
      <c r="H6" s="9"/>
      <c r="I6" s="9"/>
      <c r="J6" s="9"/>
    </row>
  </sheetData>
  <dataValidations count="2">
    <dataValidation allowBlank="true" errorStyle="stop" operator="between" showDropDown="false" showErrorMessage="false" showInputMessage="false" sqref="E5:E6" type="list">
      <formula1>"Not Started,In Progress,Documented,Verified,Not Applicable"</formula1>
      <formula2>0</formula2>
    </dataValidation>
    <dataValidation allowBlank="true" errorStyle="stop" operator="between" showDropDown="false" showErrorMessage="false" showInputMessage="false" sqref="D5:D6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6" min="4" style="0" width="13"/>
    <col collapsed="false" customWidth="true" hidden="false" outlineLevel="0" max="7" min="7" style="0" width="15"/>
  </cols>
  <sheetData>
    <row r="1" customFormat="false" ht="18.55" hidden="false" customHeight="false" outlineLevel="0" collapsed="false">
      <c r="A1" s="1" t="s">
        <v>93</v>
      </c>
    </row>
    <row r="2" customFormat="false" ht="15" hidden="false" customHeight="false" outlineLevel="0" collapsed="false">
      <c r="A2" s="2" t="s">
        <v>94</v>
      </c>
    </row>
    <row r="4" customFormat="false" ht="15" hidden="false" customHeight="false" outlineLevel="0" collapsed="false">
      <c r="A4" s="5" t="s">
        <v>95</v>
      </c>
      <c r="B4" s="5" t="s">
        <v>96</v>
      </c>
      <c r="C4" s="5" t="s">
        <v>97</v>
      </c>
      <c r="D4" s="5" t="s">
        <v>98</v>
      </c>
      <c r="E4" s="5" t="s">
        <v>99</v>
      </c>
      <c r="F4" s="5" t="s">
        <v>29</v>
      </c>
      <c r="G4" s="5" t="s">
        <v>100</v>
      </c>
    </row>
    <row r="5" customFormat="false" ht="15" hidden="false" customHeight="false" outlineLevel="0" collapsed="false">
      <c r="A5" s="11" t="s">
        <v>101</v>
      </c>
      <c r="B5" s="11" t="n">
        <f aca="false">COUNTA(Place!B5:B8)</f>
        <v>4</v>
      </c>
      <c r="C5" s="11" t="n">
        <f aca="false">COUNTIF(Place!E5:E8,"Verified")</f>
        <v>0</v>
      </c>
      <c r="D5" s="11" t="n">
        <f aca="false">COUNTIF(Place!E5:E8,"Documented")</f>
        <v>0</v>
      </c>
      <c r="E5" s="11" t="n">
        <f aca="false">COUNTIF(Place!E5:E8,"In Progress")</f>
        <v>0</v>
      </c>
      <c r="F5" s="11" t="n">
        <f aca="false">COUNTIF(Place!E5:E8,"Not Started")</f>
        <v>4</v>
      </c>
      <c r="G5" s="12" t="n">
        <f aca="false">IFERROR(AVERAGE(Place!F5:F8),0)</f>
        <v>0</v>
      </c>
    </row>
    <row r="6" customFormat="false" ht="15" hidden="false" customHeight="false" outlineLevel="0" collapsed="false">
      <c r="A6" s="11" t="s">
        <v>102</v>
      </c>
      <c r="B6" s="11" t="n">
        <f aca="false">COUNTA('Health and Happiness'!B5:B7)</f>
        <v>3</v>
      </c>
      <c r="C6" s="11" t="n">
        <f aca="false">COUNTIF('Health and Happiness'!E5:E7,"Verified")</f>
        <v>0</v>
      </c>
      <c r="D6" s="11" t="n">
        <f aca="false">COUNTIF('Health and Happiness'!E5:E7,"Documented")</f>
        <v>0</v>
      </c>
      <c r="E6" s="11" t="n">
        <f aca="false">COUNTIF('Health and Happiness'!E5:E7,"In Progress")</f>
        <v>0</v>
      </c>
      <c r="F6" s="11" t="n">
        <f aca="false">COUNTIF('Health and Happiness'!E5:E7,"Not Started")</f>
        <v>3</v>
      </c>
      <c r="G6" s="12" t="n">
        <f aca="false">IFERROR(AVERAGE('Health and Happiness'!F5:F7),0)</f>
        <v>0</v>
      </c>
    </row>
    <row r="7" customFormat="false" ht="15" hidden="false" customHeight="false" outlineLevel="0" collapsed="false">
      <c r="A7" s="11" t="s">
        <v>103</v>
      </c>
      <c r="B7" s="11" t="n">
        <f aca="false">COUNTA(Materials!B5:B9)</f>
        <v>5</v>
      </c>
      <c r="C7" s="11" t="n">
        <f aca="false">COUNTIF(Materials!E5:E9,"Verified")</f>
        <v>0</v>
      </c>
      <c r="D7" s="11" t="n">
        <f aca="false">COUNTIF(Materials!E5:E9,"Documented")</f>
        <v>0</v>
      </c>
      <c r="E7" s="11" t="n">
        <f aca="false">COUNTIF(Materials!E5:E9,"In Progress")</f>
        <v>0</v>
      </c>
      <c r="F7" s="11" t="n">
        <f aca="false">COUNTIF(Materials!E5:E9,"Not Started")</f>
        <v>5</v>
      </c>
      <c r="G7" s="12" t="n">
        <f aca="false">IFERROR(AVERAGE(Materials!F5:F9),0)</f>
        <v>0</v>
      </c>
    </row>
    <row r="8" customFormat="false" ht="15" hidden="false" customHeight="false" outlineLevel="0" collapsed="false">
      <c r="A8" s="11" t="s">
        <v>104</v>
      </c>
      <c r="B8" s="11" t="n">
        <f aca="false">COUNTA(Equity!B5:B6)</f>
        <v>2</v>
      </c>
      <c r="C8" s="11" t="n">
        <f aca="false">COUNTIF(Equity!E5:E6,"Verified")</f>
        <v>0</v>
      </c>
      <c r="D8" s="11" t="n">
        <f aca="false">COUNTIF(Equity!E5:E6,"Documented")</f>
        <v>0</v>
      </c>
      <c r="E8" s="11" t="n">
        <f aca="false">COUNTIF(Equity!E5:E6,"In Progress")</f>
        <v>0</v>
      </c>
      <c r="F8" s="11" t="n">
        <f aca="false">COUNTIF(Equity!E5:E6,"Not Started")</f>
        <v>2</v>
      </c>
      <c r="G8" s="12" t="n">
        <f aca="false">IFERROR(AVERAGE(Equity!F5:F6),0)</f>
        <v>0</v>
      </c>
    </row>
    <row r="9" customFormat="false" ht="15" hidden="false" customHeight="false" outlineLevel="0" collapsed="false">
      <c r="A9" s="11" t="s">
        <v>105</v>
      </c>
      <c r="B9" s="11" t="n">
        <f aca="false">COUNTA(Beauty!B5:B6)</f>
        <v>2</v>
      </c>
      <c r="C9" s="11" t="n">
        <f aca="false">COUNTIF(Beauty!E5:E6,"Verified")</f>
        <v>0</v>
      </c>
      <c r="D9" s="11" t="n">
        <f aca="false">COUNTIF(Beauty!E5:E6,"Documented")</f>
        <v>0</v>
      </c>
      <c r="E9" s="11" t="n">
        <f aca="false">COUNTIF(Beauty!E5:E6,"In Progress")</f>
        <v>0</v>
      </c>
      <c r="F9" s="11" t="n">
        <f aca="false">COUNTIF(Beauty!E5:E6,"Not Started")</f>
        <v>2</v>
      </c>
      <c r="G9" s="12" t="n">
        <f aca="false">IFERROR(AVERAGE(Beauty!F5:F6),0)</f>
        <v>0</v>
      </c>
    </row>
    <row r="10" customFormat="false" ht="15" hidden="false" customHeight="false" outlineLevel="0" collapsed="false">
      <c r="A10" s="11" t="s">
        <v>106</v>
      </c>
      <c r="B10" s="11" t="n">
        <f aca="false">COUNTA('Water (LIVE + docs)'!B5:B6)</f>
        <v>2</v>
      </c>
      <c r="C10" s="11" t="n">
        <f aca="false">COUNTIF('Water (LIVE + docs)'!E5:E6,"Verified")</f>
        <v>0</v>
      </c>
      <c r="D10" s="11" t="n">
        <f aca="false">COUNTIF('Water (LIVE + docs)'!E5:E6,"Documented")</f>
        <v>0</v>
      </c>
      <c r="E10" s="11" t="n">
        <f aca="false">COUNTIF('Water (LIVE + docs)'!E5:E6,"In Progress")</f>
        <v>0</v>
      </c>
      <c r="F10" s="11" t="n">
        <f aca="false">COUNTIF('Water (LIVE + docs)'!E5:E6,"Not Started")</f>
        <v>2</v>
      </c>
      <c r="G10" s="12" t="n">
        <f aca="false">IFERROR(AVERAGE('Water (LIVE + docs)'!F5:F6),0)</f>
        <v>0</v>
      </c>
    </row>
    <row r="11" customFormat="false" ht="15" hidden="false" customHeight="false" outlineLevel="0" collapsed="false">
      <c r="A11" s="11" t="s">
        <v>107</v>
      </c>
      <c r="B11" s="11" t="n">
        <f aca="false">COUNTA('Energy (LIVE + docs)'!B5:B6)</f>
        <v>2</v>
      </c>
      <c r="C11" s="11" t="n">
        <f aca="false">COUNTIF('Energy (LIVE + docs)'!E5:E6,"Verified")</f>
        <v>0</v>
      </c>
      <c r="D11" s="11" t="n">
        <f aca="false">COUNTIF('Energy (LIVE + docs)'!E5:E6,"Documented")</f>
        <v>0</v>
      </c>
      <c r="E11" s="11" t="n">
        <f aca="false">COUNTIF('Energy (LIVE + docs)'!E5:E6,"In Progress")</f>
        <v>0</v>
      </c>
      <c r="F11" s="11" t="n">
        <f aca="false">COUNTIF('Energy (LIVE + docs)'!E5:E6,"Not Started")</f>
        <v>2</v>
      </c>
      <c r="G11" s="12" t="n">
        <f aca="false">IFERROR(AVERAGE('Energy (LIVE + docs)'!F5:F6),0)</f>
        <v>0</v>
      </c>
    </row>
    <row r="12" customFormat="false" ht="15" hidden="false" customHeight="false" outlineLevel="0" collapsed="false">
      <c r="A12" s="13" t="s">
        <v>108</v>
      </c>
      <c r="B12" s="13" t="n">
        <f aca="false">SUM(B5:B11)</f>
        <v>20</v>
      </c>
      <c r="C12" s="13" t="n">
        <f aca="false">SUM(C5:C11)</f>
        <v>0</v>
      </c>
      <c r="D12" s="13" t="n">
        <f aca="false">SUM(D5:D11)</f>
        <v>0</v>
      </c>
      <c r="E12" s="13" t="n">
        <f aca="false">SUM(E5:E11)</f>
        <v>0</v>
      </c>
      <c r="F12" s="13" t="n">
        <f aca="false">SUM(F5:F11)</f>
        <v>20</v>
      </c>
      <c r="G12" s="14" t="n">
        <f aca="false">IFERROR(AVERAGE(G5:G11),0)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2026-07-30T19:47:16Z</dcterms:created>
  <dc:creator>openpyxl</dc:creator>
  <dc:description/>
  <dc:language>en-US</dc:language>
  <cp:lastModifiedBy/>
  <dcterms:modified xsi:type="dcterms:W3CDTF">2026-07-30T19:47:16Z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